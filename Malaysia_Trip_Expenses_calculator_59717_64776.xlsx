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7581050-798E-4065-AC5F-FD9B06DD1EB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Expenses" sheetId="1" r:id="rId1"/>
  </sheets>
  <definedNames>
    <definedName name="_xlnm.Print_Area" localSheetId="0">Expenses!$A$1:$R$57</definedName>
    <definedName name="_xlnm.Print_Titles" localSheetId="0">Expenses!$7:$7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7" i="1" l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J33" i="1"/>
  <c r="G33" i="1"/>
  <c r="F33" i="1"/>
  <c r="E33" i="1"/>
  <c r="J32" i="1"/>
  <c r="G32" i="1"/>
  <c r="F32" i="1"/>
  <c r="E32" i="1"/>
  <c r="Q31" i="1"/>
  <c r="P31" i="1"/>
  <c r="O31" i="1"/>
  <c r="J31" i="1"/>
  <c r="G31" i="1"/>
  <c r="F31" i="1"/>
  <c r="E31" i="1"/>
  <c r="Q30" i="1"/>
  <c r="P30" i="1"/>
  <c r="O30" i="1"/>
  <c r="J30" i="1"/>
  <c r="G30" i="1"/>
  <c r="F30" i="1"/>
  <c r="E30" i="1"/>
  <c r="Q29" i="1"/>
  <c r="P29" i="1"/>
  <c r="O29" i="1"/>
  <c r="G29" i="1"/>
  <c r="F29" i="1"/>
  <c r="E29" i="1"/>
  <c r="Q28" i="1"/>
  <c r="P28" i="1"/>
  <c r="O28" i="1"/>
  <c r="J28" i="1"/>
  <c r="G28" i="1"/>
  <c r="F28" i="1"/>
  <c r="E28" i="1"/>
  <c r="Q27" i="1"/>
  <c r="P27" i="1"/>
  <c r="O27" i="1"/>
  <c r="J27" i="1"/>
  <c r="G27" i="1"/>
  <c r="F27" i="1"/>
  <c r="E27" i="1"/>
  <c r="J26" i="1"/>
  <c r="G26" i="1"/>
  <c r="F26" i="1"/>
  <c r="E26" i="1"/>
  <c r="J25" i="1"/>
  <c r="G25" i="1"/>
  <c r="F25" i="1"/>
  <c r="E25" i="1"/>
  <c r="J24" i="1"/>
  <c r="G24" i="1"/>
  <c r="F24" i="1"/>
  <c r="E24" i="1"/>
  <c r="J23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J17" i="1"/>
  <c r="G17" i="1"/>
  <c r="F17" i="1"/>
  <c r="E17" i="1"/>
  <c r="G16" i="1"/>
  <c r="F16" i="1"/>
  <c r="E16" i="1"/>
  <c r="G15" i="1"/>
  <c r="F15" i="1"/>
  <c r="E15" i="1"/>
  <c r="L14" i="1"/>
  <c r="K14" i="1"/>
  <c r="J14" i="1"/>
  <c r="G14" i="1"/>
  <c r="F14" i="1"/>
  <c r="E14" i="1"/>
  <c r="L13" i="1"/>
  <c r="K13" i="1"/>
  <c r="J13" i="1"/>
  <c r="G13" i="1"/>
  <c r="F13" i="1"/>
  <c r="E13" i="1"/>
  <c r="L12" i="1"/>
  <c r="K12" i="1"/>
  <c r="J12" i="1"/>
  <c r="G12" i="1"/>
  <c r="F12" i="1"/>
  <c r="E12" i="1"/>
  <c r="L11" i="1"/>
  <c r="K11" i="1"/>
  <c r="J11" i="1"/>
  <c r="G11" i="1"/>
  <c r="F11" i="1"/>
  <c r="E11" i="1"/>
  <c r="L10" i="1"/>
  <c r="K10" i="1"/>
  <c r="J10" i="1"/>
  <c r="J37" i="1" s="1"/>
  <c r="G10" i="1"/>
  <c r="F10" i="1"/>
  <c r="E10" i="1"/>
  <c r="L9" i="1"/>
  <c r="K9" i="1"/>
  <c r="J9" i="1"/>
  <c r="G9" i="1"/>
  <c r="F9" i="1"/>
  <c r="E9" i="1"/>
  <c r="L8" i="1"/>
  <c r="K8" i="1"/>
  <c r="K15" i="1" s="1"/>
  <c r="J8" i="1"/>
  <c r="J29" i="1" s="1"/>
  <c r="G8" i="1"/>
  <c r="F8" i="1"/>
  <c r="E8" i="1"/>
  <c r="D6" i="1"/>
  <c r="B5" i="1"/>
  <c r="P32" i="1" l="1"/>
  <c r="Q32" i="1"/>
  <c r="P34" i="1"/>
  <c r="P35" i="1"/>
  <c r="R31" i="1"/>
  <c r="R30" i="1"/>
  <c r="R29" i="1"/>
  <c r="R28" i="1"/>
  <c r="R27" i="1"/>
  <c r="J15" i="1"/>
  <c r="J18" i="1"/>
  <c r="J19" i="1"/>
  <c r="J20" i="1"/>
  <c r="J21" i="1"/>
  <c r="J22" i="1"/>
  <c r="P33" i="1"/>
  <c r="M13" i="1" l="1"/>
  <c r="M9" i="1"/>
  <c r="M12" i="1"/>
  <c r="M8" i="1"/>
  <c r="M15" i="1" s="1"/>
  <c r="M14" i="1"/>
  <c r="M10" i="1"/>
  <c r="J38" i="1" s="1"/>
  <c r="M11" i="1"/>
  <c r="R32" i="1"/>
</calcChain>
</file>

<file path=xl/sharedStrings.xml><?xml version="1.0" encoding="utf-8"?>
<sst xmlns="http://schemas.openxmlformats.org/spreadsheetml/2006/main" count="85" uniqueCount="65">
  <si>
    <t>UTHM Parit Raja to Kuala Lumpur - 5-Month Expense Calculator</t>
  </si>
  <si>
    <t>Base: UTHM Parit Raja (free residence, so no rent) | one 7-day tour to Kuala Lumpur every month. Yellow cells = type here; the rate and budget are placeholders.</t>
  </si>
  <si>
    <t>MYR to PKR rate (placeholder)</t>
  </si>
  <si>
    <t>Months of stay</t>
  </si>
  <si>
    <t>Travelers</t>
  </si>
  <si>
    <t>Tour days per month</t>
  </si>
  <si>
    <t>Stay days (30 per month)</t>
  </si>
  <si>
    <t>Stay start date</t>
  </si>
  <si>
    <t>Total budget (MYR)</t>
  </si>
  <si>
    <t>Total tour days</t>
  </si>
  <si>
    <t>Date</t>
  </si>
  <si>
    <t>Category</t>
  </si>
  <si>
    <t>Description</t>
  </si>
  <si>
    <t>Amount (MYR)</t>
  </si>
  <si>
    <t>Amount (PKR)</t>
  </si>
  <si>
    <t>Per person (MYR)</t>
  </si>
  <si>
    <t>Rank</t>
  </si>
  <si>
    <t>Total (MYR)</t>
  </si>
  <si>
    <t>Count</t>
  </si>
  <si>
    <t>Average</t>
  </si>
  <si>
    <t>% of total</t>
  </si>
  <si>
    <t>Intercity Travel</t>
  </si>
  <si>
    <t>Bus Parit Raja to KL (return, 2 people)</t>
  </si>
  <si>
    <t>Accommodation</t>
  </si>
  <si>
    <t>KL hostel, 6 nights (tour 1)</t>
  </si>
  <si>
    <t>Food</t>
  </si>
  <si>
    <t>Nasi lemak breakfast</t>
  </si>
  <si>
    <t>Local Transport</t>
  </si>
  <si>
    <t>LRT / MRT cards</t>
  </si>
  <si>
    <t>Activities</t>
  </si>
  <si>
    <t>Petronas Towers tickets</t>
  </si>
  <si>
    <t>Shopping</t>
  </si>
  <si>
    <t>Dinner Jalan Alor</t>
  </si>
  <si>
    <t>Souvenirs Central Market</t>
  </si>
  <si>
    <t>Other</t>
  </si>
  <si>
    <t>TOTAL</t>
  </si>
  <si>
    <t>Total spent (MYR)</t>
  </si>
  <si>
    <t>Total spent (PKR)</t>
  </si>
  <si>
    <t>Budget remaining (MYR)</t>
  </si>
  <si>
    <t>Budget status</t>
  </si>
  <si>
    <t>Spent per person (MYR)</t>
  </si>
  <si>
    <t>Spent per stay day (MYR)</t>
  </si>
  <si>
    <t>Number of expenses</t>
  </si>
  <si>
    <t>Average expense</t>
  </si>
  <si>
    <t>Median expense</t>
  </si>
  <si>
    <t>Spending by Tour Month</t>
  </si>
  <si>
    <t>Largest expense</t>
  </si>
  <si>
    <t>Month</t>
  </si>
  <si>
    <t>Expenses</t>
  </si>
  <si>
    <t>Smallest expense</t>
  </si>
  <si>
    <t>Largest expense is</t>
  </si>
  <si>
    <t>Top spending category</t>
  </si>
  <si>
    <t>Spent on expenses over 100 MYR</t>
  </si>
  <si>
    <t>Days with spending</t>
  </si>
  <si>
    <t>2nd largest expense</t>
  </si>
  <si>
    <t>3rd largest expense</t>
  </si>
  <si>
    <t>Average per month (MYR)</t>
  </si>
  <si>
    <t>Average per tour day (MYR)</t>
  </si>
  <si>
    <t>Dated outside these months (MYR)</t>
  </si>
  <si>
    <t>Look up a category:</t>
  </si>
  <si>
    <t>Months count from the Stay start date (D5).</t>
  </si>
  <si>
    <t>Its total (MYR)</t>
  </si>
  <si>
    <t>A non-zero last row means a date falls outside them.</t>
  </si>
  <si>
    <t>Its share of total</t>
  </si>
  <si>
    <t>Rows 8-18 are sample entries - overwrite them. Amounts in MYR. UTHM residence is free, so only log KL stays under Accommodation.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</si>
</sst>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%"/>
    <numFmt numFmtId="166" formatCode="#,##0.00;\(#,##0.00\)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B7780"/>
      <name val="Arial"/>
      <charset val="1"/>
    </font>
    <font>
      <b/>
      <sz val="10"/>
      <color rgb="FF1F2D33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1F2D33"/>
      <name val="Arial"/>
      <charset val="1"/>
    </font>
    <font>
      <b/>
      <sz val="10"/>
      <color rgb="FF0B5563"/>
      <name val="Arial"/>
      <charset val="1"/>
    </font>
    <font>
      <b/>
      <sz val="11"/>
      <color rgb="FF0B5563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B5563"/>
        <bgColor rgb="FF1B6B3A"/>
      </patternFill>
    </fill>
    <fill>
      <patternFill patternType="solid">
        <fgColor rgb="FFE6F1F3"/>
        <bgColor rgb="FFF6F9FA"/>
      </patternFill>
    </fill>
    <fill>
      <patternFill patternType="solid">
        <fgColor rgb="FFFFF8E1"/>
        <bgColor rgb="FFF6F9FA"/>
      </patternFill>
    </fill>
    <fill>
      <patternFill patternType="solid">
        <fgColor rgb="FFF6F9FA"/>
        <bgColor rgb="FFFFFFFF"/>
      </patternFill>
    </fill>
  </fills>
  <borders count="3">
    <border>
      <left/>
      <right/>
      <top/>
      <bottom/>
      <diagonal/>
    </border>
    <border>
      <left style="thin">
        <color rgb="FFD0D7DB"/>
      </left>
      <right style="thin">
        <color rgb="FFD0D7DB"/>
      </right>
      <top style="thin">
        <color rgb="FFD0D7DB"/>
      </top>
      <bottom style="thin">
        <color rgb="FFD0D7DB"/>
      </bottom>
      <diagonal/>
    </border>
    <border>
      <left style="thin">
        <color rgb="FFD0D7DB"/>
      </left>
      <right style="thin">
        <color rgb="FFD0D7DB"/>
      </right>
      <top style="medium">
        <color rgb="FF0B5563"/>
      </top>
      <bottom style="medium">
        <color rgb="FF0B556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" fillId="0" borderId="0" xfId="0" applyFont="1" applyAlignment="1">
      <alignment indent="1"/>
    </xf>
    <xf numFmtId="0" fontId="3" fillId="3" borderId="1" xfId="0" applyFont="1" applyFill="1" applyBorder="1" applyAlignment="1">
      <alignment indent="1"/>
    </xf>
    <xf numFmtId="2" fontId="4" fillId="4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1" fontId="5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left" indent="1"/>
    </xf>
    <xf numFmtId="4" fontId="7" fillId="5" borderId="1" xfId="0" applyNumberFormat="1" applyFont="1" applyFill="1" applyBorder="1"/>
    <xf numFmtId="3" fontId="8" fillId="5" borderId="1" xfId="0" applyNumberFormat="1" applyFont="1" applyFill="1" applyBorder="1"/>
    <xf numFmtId="4" fontId="8" fillId="5" borderId="1" xfId="0" applyNumberFormat="1" applyFont="1" applyFill="1" applyBorder="1"/>
    <xf numFmtId="0" fontId="8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indent="1"/>
    </xf>
    <xf numFmtId="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/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indent="1"/>
    </xf>
    <xf numFmtId="4" fontId="7" fillId="0" borderId="1" xfId="0" applyNumberFormat="1" applyFont="1" applyBorder="1"/>
    <xf numFmtId="3" fontId="8" fillId="0" borderId="1" xfId="0" applyNumberFormat="1" applyFont="1" applyBorder="1"/>
    <xf numFmtId="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3" borderId="2" xfId="0" applyFont="1" applyFill="1" applyBorder="1" applyAlignment="1">
      <alignment indent="1"/>
    </xf>
    <xf numFmtId="4" fontId="10" fillId="3" borderId="2" xfId="0" applyNumberFormat="1" applyFont="1" applyFill="1" applyBorder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165" fontId="10" fillId="3" borderId="2" xfId="0" applyNumberFormat="1" applyFont="1" applyFill="1" applyBorder="1"/>
    <xf numFmtId="0" fontId="9" fillId="3" borderId="1" xfId="0" applyFont="1" applyFill="1" applyBorder="1" applyAlignment="1">
      <alignment indent="1"/>
    </xf>
    <xf numFmtId="4" fontId="11" fillId="3" borderId="1" xfId="0" applyNumberFormat="1" applyFont="1" applyFill="1" applyBorder="1" applyAlignment="1">
      <alignment horizontal="right"/>
    </xf>
    <xf numFmtId="3" fontId="11" fillId="3" borderId="1" xfId="0" applyNumberFormat="1" applyFont="1" applyFill="1" applyBorder="1" applyAlignment="1">
      <alignment horizontal="right"/>
    </xf>
    <xf numFmtId="166" fontId="11" fillId="3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indent="1"/>
    </xf>
    <xf numFmtId="0" fontId="5" fillId="5" borderId="1" xfId="0" applyFont="1" applyFill="1" applyBorder="1" applyAlignment="1">
      <alignment horizontal="right"/>
    </xf>
    <xf numFmtId="0" fontId="9" fillId="0" borderId="1" xfId="0" applyFont="1" applyBorder="1" applyAlignment="1">
      <alignment indent="1"/>
    </xf>
    <xf numFmtId="4" fontId="5" fillId="0" borderId="1" xfId="0" applyNumberFormat="1" applyFont="1" applyBorder="1" applyAlignment="1">
      <alignment horizontal="right"/>
    </xf>
    <xf numFmtId="4" fontId="5" fillId="5" borderId="1" xfId="0" applyNumberFormat="1" applyFont="1" applyFill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11" fillId="0" borderId="0" xfId="0" applyFont="1"/>
    <xf numFmtId="0" fontId="3" fillId="5" borderId="1" xfId="0" applyFont="1" applyFill="1" applyBorder="1" applyAlignment="1">
      <alignment indent="1"/>
    </xf>
    <xf numFmtId="4" fontId="9" fillId="5" borderId="1" xfId="0" applyNumberFormat="1" applyFont="1" applyFill="1" applyBorder="1"/>
    <xf numFmtId="0" fontId="9" fillId="5" borderId="1" xfId="0" applyFont="1" applyFill="1" applyBorder="1" applyAlignment="1">
      <alignment horizontal="center"/>
    </xf>
    <xf numFmtId="165" fontId="9" fillId="5" borderId="1" xfId="0" applyNumberFormat="1" applyFont="1" applyFill="1" applyBorder="1"/>
    <xf numFmtId="0" fontId="5" fillId="0" borderId="1" xfId="0" applyFont="1" applyBorder="1" applyAlignment="1">
      <alignment horizontal="right"/>
    </xf>
    <xf numFmtId="4" fontId="12" fillId="0" borderId="1" xfId="0" applyNumberFormat="1" applyFont="1" applyBorder="1"/>
    <xf numFmtId="0" fontId="4" fillId="4" borderId="1" xfId="0" applyFont="1" applyFill="1" applyBorder="1" applyAlignment="1">
      <alignment horizontal="right"/>
    </xf>
    <xf numFmtId="0" fontId="2" fillId="0" borderId="0" xfId="0" applyFont="1"/>
    <xf numFmtId="4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</cellXfs>
  <cellStyles count="1">
    <cellStyle name="Normal" xfId="0" builtinId="0"/>
  </cellStyles>
  <dxfs count="5">
    <dxf>
      <font>
        <b/>
        <color rgb="FF9B1C2E"/>
        <name val="Arial"/>
        <charset val="1"/>
      </font>
      <fill>
        <patternFill>
          <bgColor rgb="FFF8D7DA"/>
        </patternFill>
      </fill>
    </dxf>
    <dxf>
      <font>
        <b/>
        <color rgb="FF1B6B3A"/>
        <name val="Arial"/>
        <charset val="1"/>
      </font>
      <fill>
        <patternFill>
          <bgColor rgb="FFD5EFDD"/>
        </patternFill>
      </fill>
    </dxf>
    <dxf>
      <font>
        <b/>
        <color rgb="FF8A5A00"/>
        <name val="Arial"/>
        <charset val="1"/>
      </font>
      <fill>
        <patternFill>
          <bgColor rgb="FFFFE8B3"/>
        </patternFill>
      </fill>
    </dxf>
    <dxf>
      <font>
        <b/>
        <color rgb="FF9B1C2E"/>
        <name val="Arial"/>
        <charset val="1"/>
      </font>
      <fill>
        <patternFill>
          <bgColor rgb="FFF8D7DA"/>
        </patternFill>
      </fill>
    </dxf>
    <dxf>
      <font>
        <b/>
        <color rgb="FF9B1C2E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A5A00"/>
      <rgbColor rgb="FF800080"/>
      <rgbColor rgb="FF008080"/>
      <rgbColor rgb="FFB3B3B3"/>
      <rgbColor rgb="FF6B7780"/>
      <rgbColor rgb="FF9999FF"/>
      <rgbColor rgb="FF993366"/>
      <rgbColor rgb="FFFFF8E1"/>
      <rgbColor rgb="FFE6F1F3"/>
      <rgbColor rgb="FF660066"/>
      <rgbColor rgb="FFFF8080"/>
      <rgbColor rgb="FF0066CC"/>
      <rgbColor rgb="FFD0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FA"/>
      <rgbColor rgb="FFD5EFDD"/>
      <rgbColor rgb="FFFFE8B3"/>
      <rgbColor rgb="FFD9D9D9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563"/>
      <rgbColor rgb="FF339966"/>
      <rgbColor rgb="FF003300"/>
      <rgbColor rgb="FF333300"/>
      <rgbColor rgb="FF9B1C2E"/>
      <rgbColor rgb="FF993366"/>
      <rgbColor rgb="FF333399"/>
      <rgbColor rgb="FF1F2D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Spending by Category (MYR)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Expenses!$J$7</c:f>
              <c:strCache>
                <c:ptCount val="1"/>
                <c:pt idx="0">
                  <c:v>Total (MYR)</c:v>
                </c:pt>
              </c:strCache>
            </c:strRef>
          </c:tx>
          <c:spPr>
            <a:solidFill>
              <a:srgbClr val="0B556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Expenses!$I$8:$I$14</c:f>
              <c:strCache>
                <c:ptCount val="7"/>
                <c:pt idx="0">
                  <c:v>Intercity Travel</c:v>
                </c:pt>
                <c:pt idx="1">
                  <c:v>Accommodation</c:v>
                </c:pt>
                <c:pt idx="2">
                  <c:v>Food</c:v>
                </c:pt>
                <c:pt idx="3">
                  <c:v>Local Transport</c:v>
                </c:pt>
                <c:pt idx="4">
                  <c:v>Shopping</c:v>
                </c:pt>
                <c:pt idx="5">
                  <c:v>Activities</c:v>
                </c:pt>
                <c:pt idx="6">
                  <c:v>Other</c:v>
                </c:pt>
              </c:strCache>
            </c:strRef>
          </c:cat>
          <c:val>
            <c:numRef>
              <c:f>Expenses!$J$8:$J$14</c:f>
              <c:numCache>
                <c:formatCode>#,##0.00</c:formatCode>
                <c:ptCount val="7"/>
                <c:pt idx="0">
                  <c:v>650</c:v>
                </c:pt>
                <c:pt idx="1">
                  <c:v>420</c:v>
                </c:pt>
                <c:pt idx="2">
                  <c:v>90.5</c:v>
                </c:pt>
                <c:pt idx="3">
                  <c:v>30</c:v>
                </c:pt>
                <c:pt idx="4">
                  <c:v>120</c:v>
                </c:pt>
                <c:pt idx="5">
                  <c:v>168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7-4B4E-9077-94ED4F3A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9367033"/>
        <c:axId val="66109482"/>
      </c:barChart>
      <c:catAx>
        <c:axId val="5936703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09482"/>
        <c:crosses val="autoZero"/>
        <c:auto val="1"/>
        <c:lblAlgn val="ctr"/>
        <c:lblOffset val="100"/>
        <c:noMultiLvlLbl val="0"/>
      </c:catAx>
      <c:valAx>
        <c:axId val="6610948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6703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16493</xdr:colOff>
      <xdr:row>7</xdr:row>
      <xdr:rowOff>181429</xdr:rowOff>
    </xdr:from>
    <xdr:to>
      <xdr:col>19</xdr:col>
      <xdr:colOff>254453</xdr:colOff>
      <xdr:row>23</xdr:row>
      <xdr:rowOff>15813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5563"/>
    <pageSetUpPr fitToPage="1"/>
  </sheetPr>
  <dimension ref="A1:R57"/>
  <sheetViews>
    <sheetView showGridLines="0" tabSelected="1" topLeftCell="B1" zoomScale="62" zoomScaleNormal="33" workbookViewId="0">
      <pane ySplit="7" topLeftCell="A8" activePane="bottomLeft" state="frozen"/>
      <selection pane="bottomLeft" activeCell="X49" sqref="X49"/>
    </sheetView>
  </sheetViews>
  <sheetFormatPr defaultColWidth="8.6328125" defaultRowHeight="14.5" x14ac:dyDescent="0.35"/>
  <cols>
    <col min="1" max="1" width="30" customWidth="1"/>
    <col min="2" max="2" width="18" customWidth="1"/>
    <col min="3" max="3" width="36" customWidth="1"/>
    <col min="4" max="5" width="15" customWidth="1"/>
    <col min="6" max="6" width="16" customWidth="1"/>
    <col min="7" max="7" width="8" customWidth="1"/>
    <col min="8" max="8" width="3" customWidth="1"/>
    <col min="9" max="9" width="32" customWidth="1"/>
    <col min="10" max="10" width="24" customWidth="1"/>
    <col min="11" max="11" width="9" customWidth="1"/>
    <col min="12" max="13" width="12" customWidth="1"/>
    <col min="14" max="14" width="3" customWidth="1"/>
    <col min="15" max="15" width="24" customWidth="1"/>
    <col min="16" max="16" width="16" customWidth="1"/>
    <col min="17" max="18" width="11" customWidth="1"/>
  </cols>
  <sheetData>
    <row r="1" spans="1:13" ht="33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3" t="s">
        <v>1</v>
      </c>
    </row>
    <row r="3" spans="1:13" ht="15" customHeight="1" x14ac:dyDescent="0.35">
      <c r="A3" s="4" t="s">
        <v>2</v>
      </c>
      <c r="B3" s="5">
        <v>70</v>
      </c>
      <c r="C3" s="4" t="s">
        <v>3</v>
      </c>
      <c r="D3" s="6">
        <v>5</v>
      </c>
    </row>
    <row r="4" spans="1:13" ht="15" customHeight="1" x14ac:dyDescent="0.35">
      <c r="A4" s="4" t="s">
        <v>4</v>
      </c>
      <c r="B4" s="6">
        <v>2</v>
      </c>
      <c r="C4" s="4" t="s">
        <v>5</v>
      </c>
      <c r="D4" s="6">
        <v>7</v>
      </c>
    </row>
    <row r="5" spans="1:13" ht="15" customHeight="1" x14ac:dyDescent="0.35">
      <c r="A5" s="4" t="s">
        <v>6</v>
      </c>
      <c r="B5" s="7">
        <f>D3*30</f>
        <v>150</v>
      </c>
      <c r="C5" s="4" t="s">
        <v>7</v>
      </c>
      <c r="D5" s="8">
        <v>45931</v>
      </c>
    </row>
    <row r="6" spans="1:13" ht="15" customHeight="1" x14ac:dyDescent="0.35">
      <c r="A6" s="4" t="s">
        <v>8</v>
      </c>
      <c r="B6" s="9">
        <v>7500</v>
      </c>
      <c r="C6" s="4" t="s">
        <v>9</v>
      </c>
      <c r="D6" s="7">
        <f>D3*D4</f>
        <v>35</v>
      </c>
    </row>
    <row r="7" spans="1:13" ht="24" customHeight="1" x14ac:dyDescent="0.35">
      <c r="A7" s="10" t="s">
        <v>10</v>
      </c>
      <c r="B7" s="10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0" t="s">
        <v>16</v>
      </c>
      <c r="I7" s="10" t="s">
        <v>11</v>
      </c>
      <c r="J7" s="10" t="s">
        <v>17</v>
      </c>
      <c r="K7" s="10" t="s">
        <v>18</v>
      </c>
      <c r="L7" s="10" t="s">
        <v>19</v>
      </c>
      <c r="M7" s="10" t="s">
        <v>20</v>
      </c>
    </row>
    <row r="8" spans="1:13" ht="15" customHeight="1" x14ac:dyDescent="0.35">
      <c r="A8" s="11">
        <v>46331</v>
      </c>
      <c r="B8" s="12" t="s">
        <v>21</v>
      </c>
      <c r="C8" s="12" t="s">
        <v>22</v>
      </c>
      <c r="D8" s="13">
        <v>130</v>
      </c>
      <c r="E8" s="14">
        <f t="shared" ref="E8:E39" si="0">IF(D8="","",ROUND(D8*$B$3,0))</f>
        <v>9100</v>
      </c>
      <c r="F8" s="15">
        <f t="shared" ref="F8:F39" si="1">IF(D8="","",ROUND(D8/$B$4,2))</f>
        <v>65</v>
      </c>
      <c r="G8" s="16">
        <f t="shared" ref="G8:G39" si="2">IF(D8="","",RANK(D8,$D$8:$D$57))</f>
        <v>3</v>
      </c>
      <c r="I8" s="17" t="s">
        <v>21</v>
      </c>
      <c r="J8" s="18">
        <f t="shared" ref="J8:J14" si="3">SUMIF($B$8:$B$57,I8,$D$8:$D$57)</f>
        <v>650</v>
      </c>
      <c r="K8" s="19">
        <f t="shared" ref="K8:K14" si="4">COUNTIF($B$8:$B$57,I8)</f>
        <v>5</v>
      </c>
      <c r="L8" s="18">
        <f t="shared" ref="L8:L14" si="5">IFERROR(AVERAGEIF($B$8:$B$57,I8,$D$8:$D$57),0)</f>
        <v>130</v>
      </c>
      <c r="M8" s="20">
        <f t="shared" ref="M8:M14" si="6">IF($J$15=0,0,J8/$J$15)</f>
        <v>0.43963476496449105</v>
      </c>
    </row>
    <row r="9" spans="1:13" ht="15" customHeight="1" x14ac:dyDescent="0.35">
      <c r="A9" s="21">
        <v>46332</v>
      </c>
      <c r="B9" s="22" t="s">
        <v>23</v>
      </c>
      <c r="C9" s="22" t="s">
        <v>24</v>
      </c>
      <c r="D9" s="23">
        <v>420</v>
      </c>
      <c r="E9" s="24">
        <f t="shared" si="0"/>
        <v>29400</v>
      </c>
      <c r="F9" s="25">
        <f t="shared" si="1"/>
        <v>210</v>
      </c>
      <c r="G9" s="26">
        <f t="shared" si="2"/>
        <v>1</v>
      </c>
      <c r="I9" s="17" t="s">
        <v>23</v>
      </c>
      <c r="J9" s="18">
        <f t="shared" si="3"/>
        <v>420</v>
      </c>
      <c r="K9" s="19">
        <f t="shared" si="4"/>
        <v>1</v>
      </c>
      <c r="L9" s="18">
        <f t="shared" si="5"/>
        <v>420</v>
      </c>
      <c r="M9" s="20">
        <f t="shared" si="6"/>
        <v>0.28407169428474804</v>
      </c>
    </row>
    <row r="10" spans="1:13" ht="15" customHeight="1" x14ac:dyDescent="0.35">
      <c r="A10" s="11">
        <v>46332</v>
      </c>
      <c r="B10" s="12" t="s">
        <v>25</v>
      </c>
      <c r="C10" s="12" t="s">
        <v>26</v>
      </c>
      <c r="D10" s="13">
        <v>18.5</v>
      </c>
      <c r="E10" s="14">
        <f t="shared" si="0"/>
        <v>1295</v>
      </c>
      <c r="F10" s="15">
        <f t="shared" si="1"/>
        <v>9.25</v>
      </c>
      <c r="G10" s="16">
        <f t="shared" si="2"/>
        <v>11</v>
      </c>
      <c r="I10" s="17" t="s">
        <v>25</v>
      </c>
      <c r="J10" s="18">
        <f t="shared" si="3"/>
        <v>90.5</v>
      </c>
      <c r="K10" s="19">
        <f t="shared" si="4"/>
        <v>2</v>
      </c>
      <c r="L10" s="18">
        <f t="shared" si="5"/>
        <v>45.25</v>
      </c>
      <c r="M10" s="20">
        <f t="shared" si="6"/>
        <v>6.1210686506594524E-2</v>
      </c>
    </row>
    <row r="11" spans="1:13" ht="15" customHeight="1" x14ac:dyDescent="0.35">
      <c r="A11" s="21">
        <v>46333</v>
      </c>
      <c r="B11" s="22" t="s">
        <v>27</v>
      </c>
      <c r="C11" s="22" t="s">
        <v>28</v>
      </c>
      <c r="D11" s="23">
        <v>30</v>
      </c>
      <c r="E11" s="24">
        <f t="shared" si="0"/>
        <v>2100</v>
      </c>
      <c r="F11" s="25">
        <f t="shared" si="1"/>
        <v>15</v>
      </c>
      <c r="G11" s="26">
        <f t="shared" si="2"/>
        <v>10</v>
      </c>
      <c r="I11" s="17" t="s">
        <v>27</v>
      </c>
      <c r="J11" s="18">
        <f t="shared" si="3"/>
        <v>30</v>
      </c>
      <c r="K11" s="19">
        <f t="shared" si="4"/>
        <v>1</v>
      </c>
      <c r="L11" s="18">
        <f t="shared" si="5"/>
        <v>30</v>
      </c>
      <c r="M11" s="20">
        <f t="shared" si="6"/>
        <v>2.0290835306053433E-2</v>
      </c>
    </row>
    <row r="12" spans="1:13" ht="15" customHeight="1" x14ac:dyDescent="0.35">
      <c r="A12" s="11">
        <v>46334</v>
      </c>
      <c r="B12" s="12" t="s">
        <v>29</v>
      </c>
      <c r="C12" s="12" t="s">
        <v>30</v>
      </c>
      <c r="D12" s="13">
        <v>168</v>
      </c>
      <c r="E12" s="14">
        <f t="shared" si="0"/>
        <v>11760</v>
      </c>
      <c r="F12" s="15">
        <f t="shared" si="1"/>
        <v>84</v>
      </c>
      <c r="G12" s="16">
        <f t="shared" si="2"/>
        <v>2</v>
      </c>
      <c r="I12" s="17" t="s">
        <v>31</v>
      </c>
      <c r="J12" s="18">
        <f t="shared" si="3"/>
        <v>120</v>
      </c>
      <c r="K12" s="19">
        <f t="shared" si="4"/>
        <v>1</v>
      </c>
      <c r="L12" s="18">
        <f t="shared" si="5"/>
        <v>120</v>
      </c>
      <c r="M12" s="20">
        <f t="shared" si="6"/>
        <v>8.1163341224213731E-2</v>
      </c>
    </row>
    <row r="13" spans="1:13" ht="15" customHeight="1" x14ac:dyDescent="0.35">
      <c r="A13" s="21">
        <v>46335</v>
      </c>
      <c r="B13" s="22" t="s">
        <v>25</v>
      </c>
      <c r="C13" s="22" t="s">
        <v>32</v>
      </c>
      <c r="D13" s="23">
        <v>72</v>
      </c>
      <c r="E13" s="24">
        <f t="shared" si="0"/>
        <v>5040</v>
      </c>
      <c r="F13" s="25">
        <f t="shared" si="1"/>
        <v>36</v>
      </c>
      <c r="G13" s="26">
        <f t="shared" si="2"/>
        <v>9</v>
      </c>
      <c r="I13" s="17" t="s">
        <v>29</v>
      </c>
      <c r="J13" s="18">
        <f t="shared" si="3"/>
        <v>168</v>
      </c>
      <c r="K13" s="19">
        <f t="shared" si="4"/>
        <v>1</v>
      </c>
      <c r="L13" s="18">
        <f t="shared" si="5"/>
        <v>168</v>
      </c>
      <c r="M13" s="20">
        <f t="shared" si="6"/>
        <v>0.11362867771389923</v>
      </c>
    </row>
    <row r="14" spans="1:13" ht="15" customHeight="1" x14ac:dyDescent="0.35">
      <c r="A14" s="11">
        <v>46336</v>
      </c>
      <c r="B14" s="12" t="s">
        <v>31</v>
      </c>
      <c r="C14" s="12" t="s">
        <v>33</v>
      </c>
      <c r="D14" s="13">
        <v>120</v>
      </c>
      <c r="E14" s="14">
        <f t="shared" si="0"/>
        <v>8400</v>
      </c>
      <c r="F14" s="15">
        <f t="shared" si="1"/>
        <v>60</v>
      </c>
      <c r="G14" s="16">
        <f t="shared" si="2"/>
        <v>8</v>
      </c>
      <c r="I14" s="17" t="s">
        <v>34</v>
      </c>
      <c r="J14" s="18">
        <f t="shared" si="3"/>
        <v>0</v>
      </c>
      <c r="K14" s="19">
        <f t="shared" si="4"/>
        <v>0</v>
      </c>
      <c r="L14" s="18">
        <f t="shared" si="5"/>
        <v>0</v>
      </c>
      <c r="M14" s="20">
        <f t="shared" si="6"/>
        <v>0</v>
      </c>
    </row>
    <row r="15" spans="1:13" ht="15" customHeight="1" x14ac:dyDescent="0.35">
      <c r="A15" s="21">
        <v>46362</v>
      </c>
      <c r="B15" s="22" t="s">
        <v>21</v>
      </c>
      <c r="C15" s="22" t="s">
        <v>22</v>
      </c>
      <c r="D15" s="23">
        <v>130</v>
      </c>
      <c r="E15" s="24">
        <f t="shared" si="0"/>
        <v>9100</v>
      </c>
      <c r="F15" s="25">
        <f t="shared" si="1"/>
        <v>65</v>
      </c>
      <c r="G15" s="26">
        <f t="shared" si="2"/>
        <v>3</v>
      </c>
      <c r="I15" s="27" t="s">
        <v>35</v>
      </c>
      <c r="J15" s="28">
        <f>SUM(J8:J14)</f>
        <v>1478.5</v>
      </c>
      <c r="K15" s="29">
        <f>SUM(K8:K14)</f>
        <v>11</v>
      </c>
      <c r="L15" s="30"/>
      <c r="M15" s="31">
        <f>SUM(M8:M14)</f>
        <v>1</v>
      </c>
    </row>
    <row r="16" spans="1:13" ht="15" customHeight="1" x14ac:dyDescent="0.35">
      <c r="A16" s="11">
        <v>46362</v>
      </c>
      <c r="B16" s="12" t="s">
        <v>21</v>
      </c>
      <c r="C16" s="12" t="s">
        <v>22</v>
      </c>
      <c r="D16" s="13">
        <v>130</v>
      </c>
      <c r="E16" s="14">
        <f t="shared" si="0"/>
        <v>9100</v>
      </c>
      <c r="F16" s="15">
        <f t="shared" si="1"/>
        <v>65</v>
      </c>
      <c r="G16" s="16">
        <f t="shared" si="2"/>
        <v>3</v>
      </c>
    </row>
    <row r="17" spans="1:18" ht="15" customHeight="1" x14ac:dyDescent="0.35">
      <c r="A17" s="21">
        <v>46359</v>
      </c>
      <c r="B17" s="22" t="s">
        <v>21</v>
      </c>
      <c r="C17" s="22" t="s">
        <v>22</v>
      </c>
      <c r="D17" s="23">
        <v>130</v>
      </c>
      <c r="E17" s="24">
        <f t="shared" si="0"/>
        <v>9100</v>
      </c>
      <c r="F17" s="25">
        <f t="shared" si="1"/>
        <v>65</v>
      </c>
      <c r="G17" s="26">
        <f t="shared" si="2"/>
        <v>3</v>
      </c>
      <c r="I17" s="32" t="s">
        <v>36</v>
      </c>
      <c r="J17" s="33">
        <f>SUM($D$8:$D$57)</f>
        <v>1478.5</v>
      </c>
    </row>
    <row r="18" spans="1:18" ht="15" customHeight="1" x14ac:dyDescent="0.35">
      <c r="A18" s="11">
        <v>46364</v>
      </c>
      <c r="B18" s="12" t="s">
        <v>21</v>
      </c>
      <c r="C18" s="12" t="s">
        <v>22</v>
      </c>
      <c r="D18" s="13">
        <v>130</v>
      </c>
      <c r="E18" s="14">
        <f t="shared" si="0"/>
        <v>9100</v>
      </c>
      <c r="F18" s="15">
        <f t="shared" si="1"/>
        <v>65</v>
      </c>
      <c r="G18" s="16">
        <f t="shared" si="2"/>
        <v>3</v>
      </c>
      <c r="I18" s="32" t="s">
        <v>37</v>
      </c>
      <c r="J18" s="34">
        <f>ROUND(J17*B3,0)</f>
        <v>103495</v>
      </c>
    </row>
    <row r="19" spans="1:18" ht="15" customHeight="1" x14ac:dyDescent="0.35">
      <c r="A19" s="21"/>
      <c r="B19" s="22"/>
      <c r="C19" s="22"/>
      <c r="D19" s="23"/>
      <c r="E19" s="24" t="str">
        <f t="shared" si="0"/>
        <v/>
      </c>
      <c r="F19" s="25" t="str">
        <f t="shared" si="1"/>
        <v/>
      </c>
      <c r="G19" s="26" t="str">
        <f t="shared" si="2"/>
        <v/>
      </c>
      <c r="I19" s="32" t="s">
        <v>38</v>
      </c>
      <c r="J19" s="35">
        <f>B6-J17</f>
        <v>6021.5</v>
      </c>
    </row>
    <row r="20" spans="1:18" ht="15" customHeight="1" x14ac:dyDescent="0.35">
      <c r="A20" s="11"/>
      <c r="B20" s="12"/>
      <c r="C20" s="12"/>
      <c r="D20" s="13"/>
      <c r="E20" s="14" t="str">
        <f t="shared" si="0"/>
        <v/>
      </c>
      <c r="F20" s="15" t="str">
        <f t="shared" si="1"/>
        <v/>
      </c>
      <c r="G20" s="16" t="str">
        <f t="shared" si="2"/>
        <v/>
      </c>
      <c r="I20" s="36" t="s">
        <v>39</v>
      </c>
      <c r="J20" s="37" t="str">
        <f>IF(J17&gt;B6,"Over budget",IF(J17&gt;=0.8*B6,"Near limit","On track"))</f>
        <v>On track</v>
      </c>
    </row>
    <row r="21" spans="1:18" ht="15" customHeight="1" x14ac:dyDescent="0.35">
      <c r="A21" s="21"/>
      <c r="B21" s="22"/>
      <c r="C21" s="22"/>
      <c r="D21" s="23"/>
      <c r="E21" s="24" t="str">
        <f t="shared" si="0"/>
        <v/>
      </c>
      <c r="F21" s="25" t="str">
        <f t="shared" si="1"/>
        <v/>
      </c>
      <c r="G21" s="26" t="str">
        <f t="shared" si="2"/>
        <v/>
      </c>
      <c r="I21" s="38" t="s">
        <v>40</v>
      </c>
      <c r="J21" s="39">
        <f>ROUND(J17/B4,2)</f>
        <v>739.25</v>
      </c>
    </row>
    <row r="22" spans="1:18" ht="15" customHeight="1" x14ac:dyDescent="0.35">
      <c r="A22" s="11"/>
      <c r="B22" s="12"/>
      <c r="C22" s="12"/>
      <c r="D22" s="13"/>
      <c r="E22" s="14" t="str">
        <f t="shared" si="0"/>
        <v/>
      </c>
      <c r="F22" s="15" t="str">
        <f t="shared" si="1"/>
        <v/>
      </c>
      <c r="G22" s="16" t="str">
        <f t="shared" si="2"/>
        <v/>
      </c>
      <c r="I22" s="36" t="s">
        <v>41</v>
      </c>
      <c r="J22" s="40">
        <f>ROUND(J17/B5,2)</f>
        <v>9.86</v>
      </c>
    </row>
    <row r="23" spans="1:18" ht="15" customHeight="1" x14ac:dyDescent="0.35">
      <c r="A23" s="21"/>
      <c r="B23" s="22"/>
      <c r="C23" s="22"/>
      <c r="D23" s="23"/>
      <c r="E23" s="24" t="str">
        <f t="shared" si="0"/>
        <v/>
      </c>
      <c r="F23" s="25" t="str">
        <f t="shared" si="1"/>
        <v/>
      </c>
      <c r="G23" s="26" t="str">
        <f t="shared" si="2"/>
        <v/>
      </c>
      <c r="I23" s="38" t="s">
        <v>42</v>
      </c>
      <c r="J23" s="41">
        <f>COUNT($D$8:$D$57)</f>
        <v>11</v>
      </c>
    </row>
    <row r="24" spans="1:18" ht="15" customHeight="1" x14ac:dyDescent="0.35">
      <c r="A24" s="11"/>
      <c r="B24" s="12"/>
      <c r="C24" s="12"/>
      <c r="D24" s="13"/>
      <c r="E24" s="14" t="str">
        <f t="shared" si="0"/>
        <v/>
      </c>
      <c r="F24" s="15" t="str">
        <f t="shared" si="1"/>
        <v/>
      </c>
      <c r="G24" s="16" t="str">
        <f t="shared" si="2"/>
        <v/>
      </c>
      <c r="I24" s="36" t="s">
        <v>43</v>
      </c>
      <c r="J24" s="40">
        <f>IFERROR(AVERAGE($D$8:$D$57),0)</f>
        <v>134.40909090909091</v>
      </c>
    </row>
    <row r="25" spans="1:18" ht="15" customHeight="1" x14ac:dyDescent="0.35">
      <c r="A25" s="21"/>
      <c r="B25" s="22"/>
      <c r="C25" s="22"/>
      <c r="D25" s="23"/>
      <c r="E25" s="24" t="str">
        <f t="shared" si="0"/>
        <v/>
      </c>
      <c r="F25" s="25" t="str">
        <f t="shared" si="1"/>
        <v/>
      </c>
      <c r="G25" s="26" t="str">
        <f t="shared" si="2"/>
        <v/>
      </c>
      <c r="I25" s="38" t="s">
        <v>44</v>
      </c>
      <c r="J25" s="39">
        <f>IFERROR(MEDIAN($D$8:$D$57),0)</f>
        <v>130</v>
      </c>
      <c r="O25" s="42" t="s">
        <v>45</v>
      </c>
    </row>
    <row r="26" spans="1:18" ht="15" customHeight="1" x14ac:dyDescent="0.35">
      <c r="A26" s="11"/>
      <c r="B26" s="12"/>
      <c r="C26" s="12"/>
      <c r="D26" s="13"/>
      <c r="E26" s="14" t="str">
        <f t="shared" si="0"/>
        <v/>
      </c>
      <c r="F26" s="15" t="str">
        <f t="shared" si="1"/>
        <v/>
      </c>
      <c r="G26" s="16" t="str">
        <f t="shared" si="2"/>
        <v/>
      </c>
      <c r="I26" s="36" t="s">
        <v>46</v>
      </c>
      <c r="J26" s="40">
        <f>MAX($D$8:$D$57)</f>
        <v>420</v>
      </c>
      <c r="O26" s="10" t="s">
        <v>47</v>
      </c>
      <c r="P26" s="10" t="s">
        <v>17</v>
      </c>
      <c r="Q26" s="10" t="s">
        <v>48</v>
      </c>
      <c r="R26" s="10" t="s">
        <v>20</v>
      </c>
    </row>
    <row r="27" spans="1:18" ht="15" customHeight="1" x14ac:dyDescent="0.35">
      <c r="A27" s="21"/>
      <c r="B27" s="22"/>
      <c r="C27" s="22"/>
      <c r="D27" s="23"/>
      <c r="E27" s="24" t="str">
        <f t="shared" si="0"/>
        <v/>
      </c>
      <c r="F27" s="25" t="str">
        <f t="shared" si="1"/>
        <v/>
      </c>
      <c r="G27" s="26" t="str">
        <f t="shared" si="2"/>
        <v/>
      </c>
      <c r="I27" s="38" t="s">
        <v>49</v>
      </c>
      <c r="J27" s="39">
        <f>IF(COUNT($D$8:$D$57)=0,0,MIN($D$8:$D$57))</f>
        <v>18.5</v>
      </c>
      <c r="O27" s="17" t="str">
        <f>"Tour 1 - "&amp;TEXT(EDATE($D$5,0),"mmm yyyy")</f>
        <v>Tour 1 - Oct 2025</v>
      </c>
      <c r="P27" s="18">
        <f>SUMIFS($D$8:$D$57,$A$8:$A$57,"&gt;="&amp;EDATE($D$5,0),$A$8:$A$57,"&lt;"&amp;EDATE($D$5,1))</f>
        <v>0</v>
      </c>
      <c r="Q27" s="19">
        <f>COUNTIFS($A$8:$A$57,"&gt;="&amp;EDATE($D$5,0),$A$8:$A$57,"&lt;"&amp;EDATE($D$5,1),$D$8:$D$57,"&lt;&gt;")</f>
        <v>0</v>
      </c>
      <c r="R27" s="20">
        <f>IF($P$32=0,0,P27/$P$32)</f>
        <v>0</v>
      </c>
    </row>
    <row r="28" spans="1:18" ht="15" customHeight="1" x14ac:dyDescent="0.35">
      <c r="A28" s="11"/>
      <c r="B28" s="12"/>
      <c r="C28" s="12"/>
      <c r="D28" s="13"/>
      <c r="E28" s="14" t="str">
        <f t="shared" si="0"/>
        <v/>
      </c>
      <c r="F28" s="15" t="str">
        <f t="shared" si="1"/>
        <v/>
      </c>
      <c r="G28" s="16" t="str">
        <f t="shared" si="2"/>
        <v/>
      </c>
      <c r="I28" s="36" t="s">
        <v>50</v>
      </c>
      <c r="J28" s="37" t="str">
        <f>IFERROR(INDEX($C$8:$C$57,MATCH(MAX($D$8:$D$57),$D$8:$D$57,0)),"-")</f>
        <v>KL hostel, 6 nights (tour 1)</v>
      </c>
      <c r="O28" s="43" t="str">
        <f>"Tour 2 - "&amp;TEXT(EDATE($D$5,1),"mmm yyyy")</f>
        <v>Tour 2 - Nov 2025</v>
      </c>
      <c r="P28" s="44">
        <f>SUMIFS($D$8:$D$57,$A$8:$A$57,"&gt;="&amp;EDATE($D$5,1),$A$8:$A$57,"&lt;"&amp;EDATE($D$5,2))</f>
        <v>0</v>
      </c>
      <c r="Q28" s="45">
        <f>COUNTIFS($A$8:$A$57,"&gt;="&amp;EDATE($D$5,1),$A$8:$A$57,"&lt;"&amp;EDATE($D$5,2),$D$8:$D$57,"&lt;&gt;")</f>
        <v>0</v>
      </c>
      <c r="R28" s="46">
        <f>IF($P$32=0,0,P28/$P$32)</f>
        <v>0</v>
      </c>
    </row>
    <row r="29" spans="1:18" ht="15" customHeight="1" x14ac:dyDescent="0.35">
      <c r="A29" s="21"/>
      <c r="B29" s="22"/>
      <c r="C29" s="22"/>
      <c r="D29" s="23"/>
      <c r="E29" s="24" t="str">
        <f t="shared" si="0"/>
        <v/>
      </c>
      <c r="F29" s="25" t="str">
        <f t="shared" si="1"/>
        <v/>
      </c>
      <c r="G29" s="26" t="str">
        <f t="shared" si="2"/>
        <v/>
      </c>
      <c r="I29" s="38" t="s">
        <v>51</v>
      </c>
      <c r="J29" s="47" t="str">
        <f>IF(MAX(J8:J14)=0,"-",INDEX(I8:I14,MATCH(MAX(J8:J14),J8:J14,0)))</f>
        <v>Intercity Travel</v>
      </c>
      <c r="O29" s="17" t="str">
        <f>"Tour 3 - "&amp;TEXT(EDATE($D$5,2),"mmm yyyy")</f>
        <v>Tour 3 - Dec 2025</v>
      </c>
      <c r="P29" s="18">
        <f>SUMIFS($D$8:$D$57,$A$8:$A$57,"&gt;="&amp;EDATE($D$5,2),$A$8:$A$57,"&lt;"&amp;EDATE($D$5,3))</f>
        <v>0</v>
      </c>
      <c r="Q29" s="19">
        <f>COUNTIFS($A$8:$A$57,"&gt;="&amp;EDATE($D$5,2),$A$8:$A$57,"&lt;"&amp;EDATE($D$5,3),$D$8:$D$57,"&lt;&gt;")</f>
        <v>0</v>
      </c>
      <c r="R29" s="20">
        <f>IF($P$32=0,0,P29/$P$32)</f>
        <v>0</v>
      </c>
    </row>
    <row r="30" spans="1:18" ht="15" customHeight="1" x14ac:dyDescent="0.35">
      <c r="A30" s="11"/>
      <c r="B30" s="12"/>
      <c r="C30" s="12"/>
      <c r="D30" s="13"/>
      <c r="E30" s="14" t="str">
        <f t="shared" si="0"/>
        <v/>
      </c>
      <c r="F30" s="15" t="str">
        <f t="shared" si="1"/>
        <v/>
      </c>
      <c r="G30" s="16" t="str">
        <f t="shared" si="2"/>
        <v/>
      </c>
      <c r="I30" s="36" t="s">
        <v>52</v>
      </c>
      <c r="J30" s="40">
        <f>SUMPRODUCT(--($D$8:$D$57&gt;100),$D$8:$D$57)</f>
        <v>1358</v>
      </c>
      <c r="O30" s="43" t="str">
        <f>"Tour 4 - "&amp;TEXT(EDATE($D$5,3),"mmm yyyy")</f>
        <v>Tour 4 - Jan 2026</v>
      </c>
      <c r="P30" s="44">
        <f>SUMIFS($D$8:$D$57,$A$8:$A$57,"&gt;="&amp;EDATE($D$5,3),$A$8:$A$57,"&lt;"&amp;EDATE($D$5,4))</f>
        <v>0</v>
      </c>
      <c r="Q30" s="45">
        <f>COUNTIFS($A$8:$A$57,"&gt;="&amp;EDATE($D$5,3),$A$8:$A$57,"&lt;"&amp;EDATE($D$5,4),$D$8:$D$57,"&lt;&gt;")</f>
        <v>0</v>
      </c>
      <c r="R30" s="46">
        <f>IF($P$32=0,0,P30/$P$32)</f>
        <v>0</v>
      </c>
    </row>
    <row r="31" spans="1:18" ht="15" customHeight="1" x14ac:dyDescent="0.35">
      <c r="A31" s="21"/>
      <c r="B31" s="22"/>
      <c r="C31" s="22"/>
      <c r="D31" s="23"/>
      <c r="E31" s="24" t="str">
        <f t="shared" si="0"/>
        <v/>
      </c>
      <c r="F31" s="25" t="str">
        <f t="shared" si="1"/>
        <v/>
      </c>
      <c r="G31" s="26" t="str">
        <f t="shared" si="2"/>
        <v/>
      </c>
      <c r="I31" s="38" t="s">
        <v>53</v>
      </c>
      <c r="J31" s="41">
        <f>SUMPRODUCT(($A$8:$A$57&lt;&gt;"")/COUNTIF($A$8:$A$57,$A$8:$A$57&amp;""))</f>
        <v>9</v>
      </c>
      <c r="O31" s="17" t="str">
        <f>"Tour 5 - "&amp;TEXT(EDATE($D$5,4),"mmm yyyy")</f>
        <v>Tour 5 - Feb 2026</v>
      </c>
      <c r="P31" s="18">
        <f>SUMIFS($D$8:$D$57,$A$8:$A$57,"&gt;="&amp;EDATE($D$5,4),$A$8:$A$57,"&lt;"&amp;EDATE($D$5,5))</f>
        <v>0</v>
      </c>
      <c r="Q31" s="19">
        <f>COUNTIFS($A$8:$A$57,"&gt;="&amp;EDATE($D$5,4),$A$8:$A$57,"&lt;"&amp;EDATE($D$5,5),$D$8:$D$57,"&lt;&gt;")</f>
        <v>0</v>
      </c>
      <c r="R31" s="20">
        <f>IF($P$32=0,0,P31/$P$32)</f>
        <v>0</v>
      </c>
    </row>
    <row r="32" spans="1:18" ht="15" customHeight="1" x14ac:dyDescent="0.35">
      <c r="A32" s="11"/>
      <c r="B32" s="12"/>
      <c r="C32" s="12"/>
      <c r="D32" s="13"/>
      <c r="E32" s="14" t="str">
        <f t="shared" si="0"/>
        <v/>
      </c>
      <c r="F32" s="15" t="str">
        <f t="shared" si="1"/>
        <v/>
      </c>
      <c r="G32" s="16" t="str">
        <f t="shared" si="2"/>
        <v/>
      </c>
      <c r="I32" s="36" t="s">
        <v>54</v>
      </c>
      <c r="J32" s="40">
        <f>IFERROR(LARGE($D$8:$D$57,2),"-")</f>
        <v>168</v>
      </c>
      <c r="O32" s="27" t="s">
        <v>35</v>
      </c>
      <c r="P32" s="28">
        <f>SUM(P27:P31)</f>
        <v>0</v>
      </c>
      <c r="Q32" s="29">
        <f>SUM(Q27:Q31)</f>
        <v>0</v>
      </c>
      <c r="R32" s="31">
        <f>SUM(R27:R31)</f>
        <v>0</v>
      </c>
    </row>
    <row r="33" spans="1:18" ht="15" customHeight="1" x14ac:dyDescent="0.35">
      <c r="A33" s="21"/>
      <c r="B33" s="22"/>
      <c r="C33" s="22"/>
      <c r="D33" s="23"/>
      <c r="E33" s="24" t="str">
        <f t="shared" si="0"/>
        <v/>
      </c>
      <c r="F33" s="25" t="str">
        <f t="shared" si="1"/>
        <v/>
      </c>
      <c r="G33" s="26" t="str">
        <f t="shared" si="2"/>
        <v/>
      </c>
      <c r="I33" s="38" t="s">
        <v>55</v>
      </c>
      <c r="J33" s="39">
        <f>IFERROR(LARGE($D$8:$D$57,3),"-")</f>
        <v>130</v>
      </c>
      <c r="O33" s="38" t="s">
        <v>56</v>
      </c>
      <c r="P33" s="48">
        <f>IF($D$3=0,0,ROUND($J$17/$D$3,2))</f>
        <v>295.7</v>
      </c>
      <c r="Q33" s="19"/>
      <c r="R33" s="20"/>
    </row>
    <row r="34" spans="1:18" ht="15" customHeight="1" x14ac:dyDescent="0.35">
      <c r="A34" s="11"/>
      <c r="B34" s="12"/>
      <c r="C34" s="12"/>
      <c r="D34" s="13"/>
      <c r="E34" s="14" t="str">
        <f t="shared" si="0"/>
        <v/>
      </c>
      <c r="F34" s="15" t="str">
        <f t="shared" si="1"/>
        <v/>
      </c>
      <c r="G34" s="16" t="str">
        <f t="shared" si="2"/>
        <v/>
      </c>
      <c r="O34" s="38" t="s">
        <v>57</v>
      </c>
      <c r="P34" s="48">
        <f>IF($D$6=0,0,ROUND($P$32/$D$6,2))</f>
        <v>0</v>
      </c>
      <c r="Q34" s="19"/>
      <c r="R34" s="20"/>
    </row>
    <row r="35" spans="1:18" ht="15" customHeight="1" x14ac:dyDescent="0.35">
      <c r="A35" s="21"/>
      <c r="B35" s="22"/>
      <c r="C35" s="22"/>
      <c r="D35" s="23"/>
      <c r="E35" s="24" t="str">
        <f t="shared" si="0"/>
        <v/>
      </c>
      <c r="F35" s="25" t="str">
        <f t="shared" si="1"/>
        <v/>
      </c>
      <c r="G35" s="26" t="str">
        <f t="shared" si="2"/>
        <v/>
      </c>
      <c r="O35" s="38" t="s">
        <v>58</v>
      </c>
      <c r="P35" s="48">
        <f>ROUND($J$17-$P$32,2)</f>
        <v>1478.5</v>
      </c>
      <c r="Q35" s="19"/>
      <c r="R35" s="20"/>
    </row>
    <row r="36" spans="1:18" ht="15" customHeight="1" x14ac:dyDescent="0.35">
      <c r="A36" s="11"/>
      <c r="B36" s="12"/>
      <c r="C36" s="12"/>
      <c r="D36" s="13"/>
      <c r="E36" s="14" t="str">
        <f t="shared" si="0"/>
        <v/>
      </c>
      <c r="F36" s="15" t="str">
        <f t="shared" si="1"/>
        <v/>
      </c>
      <c r="G36" s="16" t="str">
        <f t="shared" si="2"/>
        <v/>
      </c>
      <c r="I36" s="4" t="s">
        <v>59</v>
      </c>
      <c r="J36" s="49" t="s">
        <v>25</v>
      </c>
      <c r="O36" s="50" t="s">
        <v>60</v>
      </c>
    </row>
    <row r="37" spans="1:18" ht="15" customHeight="1" x14ac:dyDescent="0.35">
      <c r="A37" s="21"/>
      <c r="B37" s="22"/>
      <c r="C37" s="22"/>
      <c r="D37" s="23"/>
      <c r="E37" s="24" t="str">
        <f t="shared" si="0"/>
        <v/>
      </c>
      <c r="F37" s="25" t="str">
        <f t="shared" si="1"/>
        <v/>
      </c>
      <c r="G37" s="26" t="str">
        <f t="shared" si="2"/>
        <v/>
      </c>
      <c r="I37" s="38" t="s">
        <v>61</v>
      </c>
      <c r="J37" s="51">
        <f>IFERROR(VLOOKUP(J36,I8:M14,2,FALSE()),"not found")</f>
        <v>90.5</v>
      </c>
      <c r="O37" s="50" t="s">
        <v>62</v>
      </c>
    </row>
    <row r="38" spans="1:18" ht="15" customHeight="1" x14ac:dyDescent="0.35">
      <c r="A38" s="11"/>
      <c r="B38" s="12"/>
      <c r="C38" s="12"/>
      <c r="D38" s="13"/>
      <c r="E38" s="14" t="str">
        <f t="shared" si="0"/>
        <v/>
      </c>
      <c r="F38" s="15" t="str">
        <f t="shared" si="1"/>
        <v/>
      </c>
      <c r="G38" s="16" t="str">
        <f t="shared" si="2"/>
        <v/>
      </c>
      <c r="I38" s="38" t="s">
        <v>63</v>
      </c>
      <c r="J38" s="52">
        <f>IFERROR(VLOOKUP(J36,I8:M14,5,FALSE()),"not found")</f>
        <v>6.1210686506594524E-2</v>
      </c>
    </row>
    <row r="39" spans="1:18" ht="15" customHeight="1" x14ac:dyDescent="0.35">
      <c r="A39" s="21"/>
      <c r="B39" s="22"/>
      <c r="C39" s="22"/>
      <c r="D39" s="23"/>
      <c r="E39" s="24" t="str">
        <f t="shared" si="0"/>
        <v/>
      </c>
      <c r="F39" s="25" t="str">
        <f t="shared" si="1"/>
        <v/>
      </c>
      <c r="G39" s="26" t="str">
        <f t="shared" si="2"/>
        <v/>
      </c>
    </row>
    <row r="40" spans="1:18" ht="15" customHeight="1" x14ac:dyDescent="0.35">
      <c r="A40" s="11"/>
      <c r="B40" s="12"/>
      <c r="C40" s="12"/>
      <c r="D40" s="13"/>
      <c r="E40" s="14" t="str">
        <f t="shared" ref="E40:E57" si="7">IF(D40="","",ROUND(D40*$B$3,0))</f>
        <v/>
      </c>
      <c r="F40" s="15" t="str">
        <f t="shared" ref="F40:F57" si="8">IF(D40="","",ROUND(D40/$B$4,2))</f>
        <v/>
      </c>
      <c r="G40" s="16" t="str">
        <f t="shared" ref="G40:G57" si="9">IF(D40="","",RANK(D40,$D$8:$D$57))</f>
        <v/>
      </c>
      <c r="I40" s="50" t="s">
        <v>64</v>
      </c>
    </row>
    <row r="41" spans="1:18" ht="15" customHeight="1" x14ac:dyDescent="0.35">
      <c r="A41" s="21"/>
      <c r="B41" s="22"/>
      <c r="C41" s="22"/>
      <c r="D41" s="23"/>
      <c r="E41" s="24" t="str">
        <f t="shared" si="7"/>
        <v/>
      </c>
      <c r="F41" s="25" t="str">
        <f t="shared" si="8"/>
        <v/>
      </c>
      <c r="G41" s="26" t="str">
        <f t="shared" si="9"/>
        <v/>
      </c>
    </row>
    <row r="42" spans="1:18" ht="15" customHeight="1" x14ac:dyDescent="0.35">
      <c r="A42" s="11"/>
      <c r="B42" s="12"/>
      <c r="C42" s="12"/>
      <c r="D42" s="13"/>
      <c r="E42" s="14" t="str">
        <f t="shared" si="7"/>
        <v/>
      </c>
      <c r="F42" s="15" t="str">
        <f t="shared" si="8"/>
        <v/>
      </c>
      <c r="G42" s="16" t="str">
        <f t="shared" si="9"/>
        <v/>
      </c>
    </row>
    <row r="43" spans="1:18" ht="15" customHeight="1" x14ac:dyDescent="0.35">
      <c r="A43" s="21"/>
      <c r="B43" s="22"/>
      <c r="C43" s="22"/>
      <c r="D43" s="23"/>
      <c r="E43" s="24" t="str">
        <f t="shared" si="7"/>
        <v/>
      </c>
      <c r="F43" s="25" t="str">
        <f t="shared" si="8"/>
        <v/>
      </c>
      <c r="G43" s="26" t="str">
        <f t="shared" si="9"/>
        <v/>
      </c>
    </row>
    <row r="44" spans="1:18" ht="15" customHeight="1" x14ac:dyDescent="0.35">
      <c r="A44" s="11"/>
      <c r="B44" s="12"/>
      <c r="C44" s="12"/>
      <c r="D44" s="13"/>
      <c r="E44" s="14" t="str">
        <f t="shared" si="7"/>
        <v/>
      </c>
      <c r="F44" s="15" t="str">
        <f t="shared" si="8"/>
        <v/>
      </c>
      <c r="G44" s="16" t="str">
        <f t="shared" si="9"/>
        <v/>
      </c>
    </row>
    <row r="45" spans="1:18" ht="15" customHeight="1" x14ac:dyDescent="0.35">
      <c r="A45" s="21"/>
      <c r="B45" s="22"/>
      <c r="C45" s="22"/>
      <c r="D45" s="23"/>
      <c r="E45" s="24" t="str">
        <f t="shared" si="7"/>
        <v/>
      </c>
      <c r="F45" s="25" t="str">
        <f t="shared" si="8"/>
        <v/>
      </c>
      <c r="G45" s="26" t="str">
        <f t="shared" si="9"/>
        <v/>
      </c>
    </row>
    <row r="46" spans="1:18" ht="15" customHeight="1" x14ac:dyDescent="0.35">
      <c r="A46" s="11"/>
      <c r="B46" s="12"/>
      <c r="C46" s="12"/>
      <c r="D46" s="13"/>
      <c r="E46" s="14" t="str">
        <f t="shared" si="7"/>
        <v/>
      </c>
      <c r="F46" s="15" t="str">
        <f t="shared" si="8"/>
        <v/>
      </c>
      <c r="G46" s="16" t="str">
        <f t="shared" si="9"/>
        <v/>
      </c>
    </row>
    <row r="47" spans="1:18" ht="15" customHeight="1" x14ac:dyDescent="0.35">
      <c r="A47" s="21"/>
      <c r="B47" s="22"/>
      <c r="C47" s="22"/>
      <c r="D47" s="23"/>
      <c r="E47" s="24" t="str">
        <f t="shared" si="7"/>
        <v/>
      </c>
      <c r="F47" s="25" t="str">
        <f t="shared" si="8"/>
        <v/>
      </c>
      <c r="G47" s="26" t="str">
        <f t="shared" si="9"/>
        <v/>
      </c>
    </row>
    <row r="48" spans="1:18" ht="15" customHeight="1" x14ac:dyDescent="0.35">
      <c r="A48" s="11"/>
      <c r="B48" s="12"/>
      <c r="C48" s="12"/>
      <c r="D48" s="13"/>
      <c r="E48" s="14" t="str">
        <f t="shared" si="7"/>
        <v/>
      </c>
      <c r="F48" s="15" t="str">
        <f t="shared" si="8"/>
        <v/>
      </c>
      <c r="G48" s="16" t="str">
        <f t="shared" si="9"/>
        <v/>
      </c>
    </row>
    <row r="49" spans="1:7" ht="15" customHeight="1" x14ac:dyDescent="0.35">
      <c r="A49" s="21"/>
      <c r="B49" s="22"/>
      <c r="C49" s="22"/>
      <c r="D49" s="23"/>
      <c r="E49" s="24" t="str">
        <f t="shared" si="7"/>
        <v/>
      </c>
      <c r="F49" s="25" t="str">
        <f t="shared" si="8"/>
        <v/>
      </c>
      <c r="G49" s="26" t="str">
        <f t="shared" si="9"/>
        <v/>
      </c>
    </row>
    <row r="50" spans="1:7" ht="15" customHeight="1" x14ac:dyDescent="0.35">
      <c r="A50" s="11"/>
      <c r="B50" s="12"/>
      <c r="C50" s="12"/>
      <c r="D50" s="13"/>
      <c r="E50" s="14" t="str">
        <f t="shared" si="7"/>
        <v/>
      </c>
      <c r="F50" s="15" t="str">
        <f t="shared" si="8"/>
        <v/>
      </c>
      <c r="G50" s="16" t="str">
        <f t="shared" si="9"/>
        <v/>
      </c>
    </row>
    <row r="51" spans="1:7" ht="15" customHeight="1" x14ac:dyDescent="0.35">
      <c r="A51" s="21"/>
      <c r="B51" s="22"/>
      <c r="C51" s="22"/>
      <c r="D51" s="23"/>
      <c r="E51" s="24" t="str">
        <f t="shared" si="7"/>
        <v/>
      </c>
      <c r="F51" s="25" t="str">
        <f t="shared" si="8"/>
        <v/>
      </c>
      <c r="G51" s="26" t="str">
        <f t="shared" si="9"/>
        <v/>
      </c>
    </row>
    <row r="52" spans="1:7" ht="15" customHeight="1" x14ac:dyDescent="0.35">
      <c r="A52" s="11"/>
      <c r="B52" s="12"/>
      <c r="C52" s="12"/>
      <c r="D52" s="13"/>
      <c r="E52" s="14" t="str">
        <f t="shared" si="7"/>
        <v/>
      </c>
      <c r="F52" s="15" t="str">
        <f t="shared" si="8"/>
        <v/>
      </c>
      <c r="G52" s="16" t="str">
        <f t="shared" si="9"/>
        <v/>
      </c>
    </row>
    <row r="53" spans="1:7" ht="15" customHeight="1" x14ac:dyDescent="0.35">
      <c r="A53" s="21"/>
      <c r="B53" s="22"/>
      <c r="C53" s="22"/>
      <c r="D53" s="23"/>
      <c r="E53" s="24" t="str">
        <f t="shared" si="7"/>
        <v/>
      </c>
      <c r="F53" s="25" t="str">
        <f t="shared" si="8"/>
        <v/>
      </c>
      <c r="G53" s="26" t="str">
        <f t="shared" si="9"/>
        <v/>
      </c>
    </row>
    <row r="54" spans="1:7" ht="15" customHeight="1" x14ac:dyDescent="0.35">
      <c r="A54" s="11"/>
      <c r="B54" s="12"/>
      <c r="C54" s="12"/>
      <c r="D54" s="13"/>
      <c r="E54" s="14" t="str">
        <f t="shared" si="7"/>
        <v/>
      </c>
      <c r="F54" s="15" t="str">
        <f t="shared" si="8"/>
        <v/>
      </c>
      <c r="G54" s="16" t="str">
        <f t="shared" si="9"/>
        <v/>
      </c>
    </row>
    <row r="55" spans="1:7" ht="15" customHeight="1" x14ac:dyDescent="0.35">
      <c r="A55" s="21"/>
      <c r="B55" s="22"/>
      <c r="C55" s="22"/>
      <c r="D55" s="23"/>
      <c r="E55" s="24" t="str">
        <f t="shared" si="7"/>
        <v/>
      </c>
      <c r="F55" s="25" t="str">
        <f t="shared" si="8"/>
        <v/>
      </c>
      <c r="G55" s="26" t="str">
        <f t="shared" si="9"/>
        <v/>
      </c>
    </row>
    <row r="56" spans="1:7" ht="15" customHeight="1" x14ac:dyDescent="0.35">
      <c r="A56" s="11"/>
      <c r="B56" s="12"/>
      <c r="C56" s="12"/>
      <c r="D56" s="13"/>
      <c r="E56" s="14" t="str">
        <f t="shared" si="7"/>
        <v/>
      </c>
      <c r="F56" s="15" t="str">
        <f t="shared" si="8"/>
        <v/>
      </c>
      <c r="G56" s="16" t="str">
        <f t="shared" si="9"/>
        <v/>
      </c>
    </row>
    <row r="57" spans="1:7" ht="15" customHeight="1" x14ac:dyDescent="0.35">
      <c r="A57" s="21"/>
      <c r="B57" s="22"/>
      <c r="C57" s="22"/>
      <c r="D57" s="23"/>
      <c r="E57" s="24" t="str">
        <f t="shared" si="7"/>
        <v/>
      </c>
      <c r="F57" s="25" t="str">
        <f t="shared" si="8"/>
        <v/>
      </c>
      <c r="G57" s="26" t="str">
        <f t="shared" si="9"/>
        <v/>
      </c>
    </row>
  </sheetData>
  <conditionalFormatting sqref="J19">
    <cfRule type="expression" dxfId="4" priority="5">
      <formula>$J$19&lt;0</formula>
    </cfRule>
  </conditionalFormatting>
  <conditionalFormatting sqref="J20">
    <cfRule type="expression" dxfId="3" priority="2">
      <formula>$J$20="Over budget"</formula>
    </cfRule>
    <cfRule type="expression" dxfId="2" priority="3">
      <formula>$J$20="Near limit"</formula>
    </cfRule>
    <cfRule type="expression" dxfId="1" priority="4">
      <formula>$J$20="On track"</formula>
    </cfRule>
  </conditionalFormatting>
  <conditionalFormatting sqref="P35">
    <cfRule type="expression" dxfId="0" priority="6">
      <formula>$P$35&lt;&gt;0</formula>
    </cfRule>
  </conditionalFormatting>
  <dataValidations count="2">
    <dataValidation type="list" allowBlank="1" showInputMessage="1" showErrorMessage="1" errorTitle="Pick a category" error="Please choose a category from the list." promptTitle="Category" prompt="Choose from the list" sqref="B8:B57" xr:uid="{00000000-0002-0000-0000-000000000000}">
      <formula1>$I$8:$I$14</formula1>
      <formula2>0</formula2>
    </dataValidation>
    <dataValidation type="list" allowBlank="1" showErrorMessage="1" errorTitle="Pick a category" error="Please choose a category from the list." sqref="J36" xr:uid="{00000000-0002-0000-0000-000001000000}">
      <formula1>$I$8:$I$14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Expenses</vt:lpstr>
      <vt:lpstr>Expenses!Print_Area</vt:lpstr>
      <vt:lpstr>Expenses!Print_Titles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Hassaan jamal</cp:lastModifiedBy>
  <cp:revision>1</cp:revision>
  <dcterms:created xsi:type="dcterms:W3CDTF">2026-10-14T13:47:16Z</dcterms:created>
  <dcterms:modified xsi:type="dcterms:W3CDTF">2026-10-28T13:25:21Z</dcterms:modified>
  <dc:language>en-US</dc:language>
</cp:coreProperties>
</file>